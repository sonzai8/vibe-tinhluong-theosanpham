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zai/dev/vibe-coder/vibe-tinhluong-theosanpham/payroll-system/backend/src/main/resources/templates/export/"/>
    </mc:Choice>
  </mc:AlternateContent>
  <xr:revisionPtr revIDLastSave="0" documentId="13_ncr:1_{CA26E6A0-487F-5740-9BDE-44CB9568F6F5}" xr6:coauthVersionLast="47" xr6:coauthVersionMax="47" xr10:uidLastSave="{00000000-0000-0000-0000-000000000000}"/>
  <bookViews>
    <workbookView xWindow="4440" yWindow="760" windowWidth="25800" windowHeight="17760" activeTab="1" xr2:uid="{00000000-000D-0000-FFFF-FFFF00000000}"/>
  </bookViews>
  <sheets>
    <sheet name="Matrix" sheetId="1" r:id="rId1"/>
    <sheet name="Chi tiết điều chuyể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A3" i="1"/>
  <c r="AB3" i="1"/>
  <c r="AC3" i="1"/>
  <c r="AD3" i="1"/>
  <c r="AE3" i="1"/>
  <c r="AF3" i="1"/>
  <c r="AG3" i="1"/>
  <c r="AH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E3" i="1"/>
  <c r="F3" i="1"/>
  <c r="G3" i="1"/>
  <c r="H3" i="1"/>
  <c r="I3" i="1"/>
  <c r="D3" i="1"/>
</calcChain>
</file>

<file path=xl/sharedStrings.xml><?xml version="1.0" encoding="utf-8"?>
<sst xmlns="http://schemas.openxmlformats.org/spreadsheetml/2006/main" count="92" uniqueCount="92">
  <si>
    <t>Mã NV</t>
  </si>
  <si>
    <t>Họ Tên</t>
  </si>
  <si>
    <t>Tổ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</si>
  <si>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</si>
  <si>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</si>
  <si>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</si>
  <si>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</si>
  <si>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</si>
  <si>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</si>
  <si>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</si>
  <si>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</si>
  <si>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</si>
  <si>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</si>
  <si>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</si>
  <si>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</si>
  <si>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</si>
  <si>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</si>
  <si>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</si>
  <si>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</si>
  <si>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</si>
  <si>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</si>
  <si>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</si>
  <si>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</si>
  <si>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</si>
  <si>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</si>
  <si>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</si>
  <si>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</si>
  <si>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</si>
  <si>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</si>
  <si>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</si>
  <si>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</si>
  <si>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</si>
  <si>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</si>
  <si>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</si>
  <si>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${item.empCode}</t>
  </si>
  <si>
    <t>${item.fullName}</t>
  </si>
  <si>
    <t>${item.team}</t>
  </si>
  <si>
    <t>${item.d1}</t>
  </si>
  <si>
    <t>${item.d2}</t>
  </si>
  <si>
    <t>${item.d3}</t>
  </si>
  <si>
    <t>${item.d4}</t>
  </si>
  <si>
    <t>${item.d5}</t>
  </si>
  <si>
    <t>${item.d6}</t>
  </si>
  <si>
    <t>${item.d7}</t>
  </si>
  <si>
    <t>${item.d8}</t>
  </si>
  <si>
    <t>${item.d9}</t>
  </si>
  <si>
    <t>${item.d10}</t>
  </si>
  <si>
    <t>${item.d11}</t>
  </si>
  <si>
    <t>${item.d12}</t>
  </si>
  <si>
    <t>${item.d13}</t>
  </si>
  <si>
    <t>${item.d14}</t>
  </si>
  <si>
    <t>${item.d15}</t>
  </si>
  <si>
    <t>${item.d16}</t>
  </si>
  <si>
    <t>${item.d17}</t>
  </si>
  <si>
    <t>${item.d18}</t>
  </si>
  <si>
    <t>${item.d19}</t>
  </si>
  <si>
    <t>${item.d20}</t>
  </si>
  <si>
    <t>${item.d21}</t>
  </si>
  <si>
    <t>${item.d22}</t>
  </si>
  <si>
    <t>${item.d23}</t>
  </si>
  <si>
    <t>${item.d24}</t>
  </si>
  <si>
    <t>${item.d25}</t>
  </si>
  <si>
    <t>${item.d26}</t>
  </si>
  <si>
    <t>${item.d27}</t>
  </si>
  <si>
    <t>${item.d28}</t>
  </si>
  <si>
    <t>${item.d29}</t>
  </si>
  <si>
    <t>${item.d30}</t>
  </si>
  <si>
    <t>${item.d31}</t>
  </si>
  <si>
    <t>${item.total}</t>
  </si>
  <si>
    <t>Tháng</t>
  </si>
  <si>
    <t>Thứ</t>
  </si>
  <si>
    <t>Năm</t>
  </si>
  <si>
    <t>Tổng</t>
  </si>
  <si>
    <t>Phép</t>
  </si>
  <si>
    <t>QUẢN ĐỐC</t>
  </si>
  <si>
    <t>THỦ KHO</t>
  </si>
  <si>
    <t>CA TRƯỞNG</t>
  </si>
  <si>
    <t>NGƯỜI LẬP BIỂU</t>
  </si>
  <si>
    <t xml:space="preserve">${month} </t>
  </si>
  <si>
    <t>${year}</t>
  </si>
  <si>
    <t>Ngày điều chuyển</t>
  </si>
  <si>
    <t>Mã nhân viên</t>
  </si>
  <si>
    <t>Họ tên nhân viên</t>
  </si>
  <si>
    <t>Đến tổ (Thực tế)</t>
  </si>
  <si>
    <t xml:space="preserve">Ký hiệu công </t>
  </si>
  <si>
    <t>${transfer.symbol}</t>
  </si>
  <si>
    <t>${transfer.toTeam}</t>
  </si>
  <si>
    <t>${transfer.fromTeam}</t>
  </si>
  <si>
    <t>${transfer.fullName}</t>
  </si>
  <si>
    <t>${transfer.empCode}</t>
  </si>
  <si>
    <t>${transfer.date}</t>
  </si>
  <si>
    <t>Từ tổ (Biên chế)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</si>
</sst>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b/>
      <u/>
      <sz val="14"/>
      <name val="Times New Roman"/>
      <family val="1"/>
    </font>
    <font>
      <b/>
      <sz val="14"/>
      <color indexed="8"/>
      <name val="Times New Roman"/>
      <family val="1"/>
    </font>
    <font>
      <b/>
      <u/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"/>
  <sheetViews>
    <sheetView zoomScale="69" zoomScaleNormal="100" workbookViewId="0">
      <selection activeCell="B7" sqref="B7"/>
    </sheetView>
  </sheetViews>
  <sheetFormatPr baseColWidth="10" defaultColWidth="8.83203125" defaultRowHeight="25" customHeight="1" x14ac:dyDescent="0.2"/>
  <cols>
    <col min="1" max="1" width="16.5" customWidth="1"/>
    <col min="2" max="2" width="20.6640625" customWidth="1"/>
    <col min="3" max="3" width="11" customWidth="1"/>
    <col min="35" max="35" width="13.6640625" customWidth="1"/>
  </cols>
  <sheetData>
    <row r="1" spans="1:40" ht="25" customHeight="1" x14ac:dyDescent="0.2">
      <c r="A1" s="1" t="s">
        <v>69</v>
      </c>
      <c r="B1" s="1" t="s">
        <v>78</v>
      </c>
    </row>
    <row r="2" spans="1:40" ht="38" customHeight="1" x14ac:dyDescent="0.2">
      <c r="A2" s="1" t="s">
        <v>71</v>
      </c>
      <c r="B2" s="1" t="s">
        <v>79</v>
      </c>
    </row>
    <row r="3" spans="1:40" s="1" customFormat="1" ht="31" customHeight="1" x14ac:dyDescent="0.2">
      <c r="A3" s="3"/>
      <c r="B3" s="3"/>
      <c r="C3" s="3" t="s">
        <v>70</v>
      </c>
      <c r="D3" s="4" t="e">
        <f>CHOOSE(WEEKDAY(DATE($B$2,$B$1,D4),2),"T2","T3","T4","T5","T6","T7","CN")</f>
        <v>#VALUE!</v>
      </c>
      <c r="E3" s="4" t="e">
        <f t="shared" ref="E3:J3" si="0">CHOOSE(WEEKDAY(DATE($B$2,$B$1,E4),2),"T2","T3","T4","T5","T6","T7","CN")</f>
        <v>#VALUE!</v>
      </c>
      <c r="F3" s="4" t="e">
        <f t="shared" si="0"/>
        <v>#VALUE!</v>
      </c>
      <c r="G3" s="4" t="e">
        <f t="shared" si="0"/>
        <v>#VALUE!</v>
      </c>
      <c r="H3" s="4" t="e">
        <f t="shared" si="0"/>
        <v>#VALUE!</v>
      </c>
      <c r="I3" s="4" t="e">
        <f t="shared" si="0"/>
        <v>#VALUE!</v>
      </c>
      <c r="J3" s="4" t="e">
        <f t="shared" si="0"/>
        <v>#VALUE!</v>
      </c>
      <c r="K3" s="4" t="e">
        <f t="shared" ref="K3" si="1">CHOOSE(WEEKDAY(DATE($B$2,$B$1,K4),2),"T2","T3","T4","T5","T6","T7","CN")</f>
        <v>#VALUE!</v>
      </c>
      <c r="L3" s="4" t="e">
        <f t="shared" ref="L3" si="2">CHOOSE(WEEKDAY(DATE($B$2,$B$1,L4),2),"T2","T3","T4","T5","T6","T7","CN")</f>
        <v>#VALUE!</v>
      </c>
      <c r="M3" s="4" t="e">
        <f t="shared" ref="M3" si="3">CHOOSE(WEEKDAY(DATE($B$2,$B$1,M4),2),"T2","T3","T4","T5","T6","T7","CN")</f>
        <v>#VALUE!</v>
      </c>
      <c r="N3" s="4" t="e">
        <f t="shared" ref="N3" si="4">CHOOSE(WEEKDAY(DATE($B$2,$B$1,N4),2),"T2","T3","T4","T5","T6","T7","CN")</f>
        <v>#VALUE!</v>
      </c>
      <c r="O3" s="4" t="e">
        <f t="shared" ref="O3:P3" si="5">CHOOSE(WEEKDAY(DATE($B$2,$B$1,O4),2),"T2","T3","T4","T5","T6","T7","CN")</f>
        <v>#VALUE!</v>
      </c>
      <c r="P3" s="4" t="e">
        <f t="shared" si="5"/>
        <v>#VALUE!</v>
      </c>
      <c r="Q3" s="4" t="e">
        <f t="shared" ref="Q3" si="6">CHOOSE(WEEKDAY(DATE($B$2,$B$1,Q4),2),"T2","T3","T4","T5","T6","T7","CN")</f>
        <v>#VALUE!</v>
      </c>
      <c r="R3" s="4" t="e">
        <f t="shared" ref="R3" si="7">CHOOSE(WEEKDAY(DATE($B$2,$B$1,R4),2),"T2","T3","T4","T5","T6","T7","CN")</f>
        <v>#VALUE!</v>
      </c>
      <c r="S3" s="4" t="e">
        <f t="shared" ref="S3" si="8">CHOOSE(WEEKDAY(DATE($B$2,$B$1,S4),2),"T2","T3","T4","T5","T6","T7","CN")</f>
        <v>#VALUE!</v>
      </c>
      <c r="T3" s="4" t="e">
        <f t="shared" ref="T3" si="9">CHOOSE(WEEKDAY(DATE($B$2,$B$1,T4),2),"T2","T3","T4","T5","T6","T7","CN")</f>
        <v>#VALUE!</v>
      </c>
      <c r="U3" s="4" t="e">
        <f t="shared" ref="U3:V3" si="10">CHOOSE(WEEKDAY(DATE($B$2,$B$1,U4),2),"T2","T3","T4","T5","T6","T7","CN")</f>
        <v>#VALUE!</v>
      </c>
      <c r="V3" s="4" t="e">
        <f t="shared" si="10"/>
        <v>#VALUE!</v>
      </c>
      <c r="W3" s="4" t="e">
        <f t="shared" ref="W3" si="11">CHOOSE(WEEKDAY(DATE($B$2,$B$1,W4),2),"T2","T3","T4","T5","T6","T7","CN")</f>
        <v>#VALUE!</v>
      </c>
      <c r="X3" s="4" t="e">
        <f t="shared" ref="X3" si="12">CHOOSE(WEEKDAY(DATE($B$2,$B$1,X4),2),"T2","T3","T4","T5","T6","T7","CN")</f>
        <v>#VALUE!</v>
      </c>
      <c r="Y3" s="4" t="e">
        <f t="shared" ref="Y3" si="13">CHOOSE(WEEKDAY(DATE($B$2,$B$1,Y4),2),"T2","T3","T4","T5","T6","T7","CN")</f>
        <v>#VALUE!</v>
      </c>
      <c r="Z3" s="4" t="e">
        <f>CHOOSE(WEEKDAY(DATE($B$2,$B$1,Z4),2),"T2","T3","T4","T5","T6","T7","CN")</f>
        <v>#VALUE!</v>
      </c>
      <c r="AA3" s="4" t="e">
        <f t="shared" ref="AA3" si="14">CHOOSE(WEEKDAY(DATE($B$2,$B$1,AA4),2),"T2","T3","T4","T5","T6","T7","CN")</f>
        <v>#VALUE!</v>
      </c>
      <c r="AB3" s="4" t="e">
        <f t="shared" ref="AB3" si="15">CHOOSE(WEEKDAY(DATE($B$2,$B$1,AB4),2),"T2","T3","T4","T5","T6","T7","CN")</f>
        <v>#VALUE!</v>
      </c>
      <c r="AC3" s="4" t="e">
        <f t="shared" ref="AC3" si="16">CHOOSE(WEEKDAY(DATE($B$2,$B$1,AC4),2),"T2","T3","T4","T5","T6","T7","CN")</f>
        <v>#VALUE!</v>
      </c>
      <c r="AD3" s="4" t="e">
        <f t="shared" ref="AD3" si="17">CHOOSE(WEEKDAY(DATE($B$2,$B$1,AD4),2),"T2","T3","T4","T5","T6","T7","CN")</f>
        <v>#VALUE!</v>
      </c>
      <c r="AE3" s="4" t="e">
        <f t="shared" ref="AE3" si="18">CHOOSE(WEEKDAY(DATE($B$2,$B$1,AE4),2),"T2","T3","T4","T5","T6","T7","CN")</f>
        <v>#VALUE!</v>
      </c>
      <c r="AF3" s="4" t="e">
        <f t="shared" ref="AF3" si="19">CHOOSE(WEEKDAY(DATE($B$2,$B$1,AF4),2),"T2","T3","T4","T5","T6","T7","CN")</f>
        <v>#VALUE!</v>
      </c>
      <c r="AG3" s="4" t="e">
        <f t="shared" ref="AG3" si="20">CHOOSE(WEEKDAY(DATE($B$2,$B$1,AG4),2),"T2","T3","T4","T5","T6","T7","CN")</f>
        <v>#VALUE!</v>
      </c>
      <c r="AH3" s="4" t="e">
        <f t="shared" ref="AH3" si="21">CHOOSE(WEEKDAY(DATE($B$2,$B$1,AH4),2),"T2","T3","T4","T5","T6","T7","CN")</f>
        <v>#VALUE!</v>
      </c>
      <c r="AI3" s="3"/>
      <c r="AJ3" s="3"/>
    </row>
    <row r="4" spans="1:40" s="1" customFormat="1" ht="25" customHeight="1" x14ac:dyDescent="0.2">
      <c r="A4" s="3" t="s">
        <v>0</v>
      </c>
      <c r="B4" s="3" t="s">
        <v>1</v>
      </c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3" t="s">
        <v>72</v>
      </c>
      <c r="AJ4" s="3" t="s">
        <v>73</v>
      </c>
    </row>
    <row r="5" spans="1:40" ht="25" customHeight="1" x14ac:dyDescent="0.2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46</v>
      </c>
      <c r="N5" s="2" t="s">
        <v>47</v>
      </c>
      <c r="O5" s="2" t="s">
        <v>48</v>
      </c>
      <c r="P5" s="2" t="s">
        <v>49</v>
      </c>
      <c r="Q5" s="2" t="s">
        <v>50</v>
      </c>
      <c r="R5" s="2" t="s">
        <v>51</v>
      </c>
      <c r="S5" s="2" t="s">
        <v>52</v>
      </c>
      <c r="T5" s="2" t="s">
        <v>53</v>
      </c>
      <c r="U5" s="2" t="s">
        <v>54</v>
      </c>
      <c r="V5" s="2" t="s">
        <v>55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2" t="s">
        <v>61</v>
      </c>
      <c r="AC5" s="2" t="s">
        <v>62</v>
      </c>
      <c r="AD5" s="2" t="s">
        <v>63</v>
      </c>
      <c r="AE5" s="2" t="s">
        <v>64</v>
      </c>
      <c r="AF5" s="2" t="s">
        <v>65</v>
      </c>
      <c r="AG5" s="2" t="s">
        <v>66</v>
      </c>
      <c r="AH5" s="2" t="s">
        <v>67</v>
      </c>
      <c r="AI5" s="2" t="s">
        <v>68</v>
      </c>
      <c r="AJ5" s="2"/>
    </row>
    <row r="6" spans="1:40" ht="2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8" spans="1:40" ht="25" customHeight="1" x14ac:dyDescent="0.2">
      <c r="B8" s="6"/>
      <c r="C8" s="9" t="s">
        <v>74</v>
      </c>
      <c r="D8" s="9"/>
      <c r="E8" s="9"/>
      <c r="F8" s="7"/>
      <c r="G8" s="7"/>
      <c r="H8" s="7"/>
      <c r="I8" s="7"/>
      <c r="K8" s="5"/>
      <c r="L8" s="5"/>
      <c r="M8" s="10" t="s">
        <v>75</v>
      </c>
      <c r="N8" s="10"/>
      <c r="O8" s="10"/>
      <c r="P8" s="8"/>
      <c r="Q8" s="8"/>
      <c r="R8" s="8"/>
      <c r="S8" s="7"/>
      <c r="T8" s="7"/>
      <c r="U8" s="10" t="s">
        <v>76</v>
      </c>
      <c r="V8" s="10"/>
      <c r="W8" s="10"/>
      <c r="X8" s="5"/>
      <c r="Y8" s="5"/>
      <c r="Z8" s="5"/>
      <c r="AA8" s="8"/>
      <c r="AB8" s="8"/>
      <c r="AC8" s="8"/>
      <c r="AD8" s="8"/>
      <c r="AE8" s="10" t="s">
        <v>77</v>
      </c>
      <c r="AF8" s="10"/>
      <c r="AG8" s="10"/>
      <c r="AH8" s="5"/>
      <c r="AI8" s="5"/>
      <c r="AJ8" s="5"/>
      <c r="AK8" s="5"/>
      <c r="AL8" s="5"/>
      <c r="AM8" s="5"/>
      <c r="AN8" s="5"/>
    </row>
    <row r="9" spans="1:40" ht="25" customHeight="1" x14ac:dyDescent="0.2">
      <c r="C9" s="9"/>
      <c r="D9" s="9"/>
      <c r="E9" s="9"/>
      <c r="M9" s="10"/>
      <c r="N9" s="10"/>
      <c r="O9" s="10"/>
      <c r="U9" s="10"/>
      <c r="V9" s="10"/>
      <c r="W9" s="10"/>
      <c r="AE9" s="10"/>
      <c r="AF9" s="10"/>
      <c r="AG9" s="10"/>
    </row>
    <row r="10" spans="1:40" ht="25" customHeight="1" x14ac:dyDescent="0.2">
      <c r="C10" s="9"/>
      <c r="D10" s="9"/>
      <c r="E10" s="9"/>
      <c r="M10" s="10"/>
      <c r="N10" s="10"/>
      <c r="O10" s="10"/>
      <c r="U10" s="10"/>
      <c r="V10" s="10"/>
      <c r="W10" s="10"/>
      <c r="AE10" s="10"/>
      <c r="AF10" s="10"/>
      <c r="AG10" s="10"/>
    </row>
  </sheetData>
  <mergeCells count="4">
    <mergeCell ref="C8:E10"/>
    <mergeCell ref="M8:O10"/>
    <mergeCell ref="U8:W10"/>
    <mergeCell ref="AE8:AG10"/>
  </mergeCells>
  <pageMargins left="0.7" right="0.7" top="0.75" bottom="0.75" header="0.3" footer="0.3"/>
  <pageSetup paperSize="9" scale="2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A7AF-F2B0-9145-B3EA-CA2A2F8F94C2}">
  <dimension ref="A1:F2"/>
  <sheetViews>
    <sheetView tabSelected="1" workbookViewId="0">
      <selection activeCell="D2" sqref="D2"/>
    </sheetView>
  </sheetViews>
  <sheetFormatPr baseColWidth="10" defaultRowHeight="15" x14ac:dyDescent="0.2"/>
  <cols>
    <col min="1" max="6" width="29.6640625" customWidth="1"/>
  </cols>
  <sheetData>
    <row r="1" spans="1:6" ht="29" customHeight="1" x14ac:dyDescent="0.2">
      <c r="A1" s="4" t="s">
        <v>80</v>
      </c>
      <c r="B1" s="4" t="s">
        <v>81</v>
      </c>
      <c r="C1" s="4" t="s">
        <v>82</v>
      </c>
      <c r="D1" s="4" t="s">
        <v>91</v>
      </c>
      <c r="E1" s="4" t="s">
        <v>83</v>
      </c>
      <c r="F1" s="4" t="s">
        <v>84</v>
      </c>
    </row>
    <row r="2" spans="1:6" ht="22" customHeight="1" x14ac:dyDescent="0.2">
      <c r="A2" s="2" t="s">
        <v>90</v>
      </c>
      <c r="B2" s="2" t="s">
        <v>89</v>
      </c>
      <c r="C2" s="2" t="s">
        <v>88</v>
      </c>
      <c r="D2" s="2" t="s">
        <v>87</v>
      </c>
      <c r="E2" s="2" t="s">
        <v>86</v>
      </c>
      <c r="F2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Chi tiết điều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1Password Viet Nam</cp:lastModifiedBy>
  <cp:lastPrinted>2026-03-25T17:30:57Z</cp:lastPrinted>
  <dcterms:created xsi:type="dcterms:W3CDTF">2026-03-19T19:26:38Z</dcterms:created>
  <dcterms:modified xsi:type="dcterms:W3CDTF">2026-03-25T17:59:14Z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2026-03-25T17:24:27Z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37d6a040-71e7-4d29-ad38-e8d4337f8ae2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